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gemini\antigravity\scratch\prompt2website\"/>
    </mc:Choice>
  </mc:AlternateContent>
  <bookViews>
    <workbookView xWindow="0" yWindow="0" windowWidth="14380" windowHeight="5570" activeTab="1"/>
  </bookViews>
  <sheets>
    <sheet name="Summary Dashboard" sheetId="1" r:id="rId1"/>
    <sheet name="Manual Test Cases" sheetId="2" r:id="rId2"/>
  </sheets>
  <calcPr calcId="152511"/>
</workbook>
</file>

<file path=xl/calcChain.xml><?xml version="1.0" encoding="utf-8"?>
<calcChain xmlns="http://schemas.openxmlformats.org/spreadsheetml/2006/main">
  <c r="E9" i="1" l="1"/>
  <c r="E8" i="1"/>
  <c r="B8" i="1"/>
  <c r="F9" i="1" s="1"/>
  <c r="E7" i="1"/>
  <c r="E6" i="1"/>
  <c r="F6" i="1" l="1"/>
  <c r="F7" i="1"/>
  <c r="F8" i="1"/>
</calcChain>
</file>

<file path=xl/sharedStrings.xml><?xml version="1.0" encoding="utf-8"?>
<sst xmlns="http://schemas.openxmlformats.org/spreadsheetml/2006/main" count="462" uniqueCount="340">
  <si>
    <t>BuildMyWebsiteAI — Manual Test Execution Suite</t>
  </si>
  <si>
    <t>Comprehensive manual test cases covering Auth, Multi-Page Generation, Custom Pages, Exporter, Phone Validator &amp; Dashboard</t>
  </si>
  <si>
    <t>Application Name:</t>
  </si>
  <si>
    <t>BuildMyWebsiteAI</t>
  </si>
  <si>
    <t>Execution Status Breakdown</t>
  </si>
  <si>
    <t>Environment / URL:</t>
  </si>
  <si>
    <t>Local (http://localhost:5173) &amp; Render Production</t>
  </si>
  <si>
    <t>Test Status</t>
  </si>
  <si>
    <t>Formula Count</t>
  </si>
  <si>
    <t>% of Total</t>
  </si>
  <si>
    <t>Color Legend</t>
  </si>
  <si>
    <t>Date Created:</t>
  </si>
  <si>
    <t>October 2026</t>
  </si>
  <si>
    <t>Pass</t>
  </si>
  <si>
    <t>Green</t>
  </si>
  <si>
    <t>Prepared For:</t>
  </si>
  <si>
    <t>QA Manual Verification</t>
  </si>
  <si>
    <t>Fail</t>
  </si>
  <si>
    <t>Red</t>
  </si>
  <si>
    <t>Total Manual Test Cases:</t>
  </si>
  <si>
    <t>Pending</t>
  </si>
  <si>
    <t>Yellow</t>
  </si>
  <si>
    <t>Blocked</t>
  </si>
  <si>
    <t>Gray</t>
  </si>
  <si>
    <t>Module Test Coverage</t>
  </si>
  <si>
    <t>Module Name</t>
  </si>
  <si>
    <t>Test Case ID Range</t>
  </si>
  <si>
    <t>Count</t>
  </si>
  <si>
    <t>Authentication &amp; Field Validations</t>
  </si>
  <si>
    <t>TC_AUTH_01 to TC_AUTH_09</t>
  </si>
  <si>
    <t>9 Test Cases</t>
  </si>
  <si>
    <t>Website Creation Wizard &amp; Inputs</t>
  </si>
  <si>
    <t>TC_WIZ_01 to TC_WIZ_07</t>
  </si>
  <si>
    <t>7 Test Cases</t>
  </si>
  <si>
    <t>Single-Page (SPA) Generation &amp; Copy</t>
  </si>
  <si>
    <t>TC_SPA_01 to TC_SPA_04</t>
  </si>
  <si>
    <t>4 Test Cases</t>
  </si>
  <si>
    <t>Multi-Page &amp; Custom Pages with AI Prompts</t>
  </si>
  <si>
    <t>TC_MP_01 to TC_MP_06</t>
  </si>
  <si>
    <t>6 Test Cases</t>
  </si>
  <si>
    <t>Export Engine, Theme CSS &amp; Booking Modal</t>
  </si>
  <si>
    <t>TC_EXP_01 to TC_EXP_08</t>
  </si>
  <si>
    <t>8 Test Cases</t>
  </si>
  <si>
    <t>AI Chatbot Assistant</t>
  </si>
  <si>
    <t>TC_CHAT_01 to TC_CHAT_03</t>
  </si>
  <si>
    <t>3 Test Cases</t>
  </si>
  <si>
    <t>User Dashboard &amp; Project Management</t>
  </si>
  <si>
    <t>TC_DASH_01 to TC_DASH_03</t>
  </si>
  <si>
    <t>BuildMyWebsiteAI — Step-by-Step Manual Test Execution Sheet</t>
  </si>
  <si>
    <t>Instructions: Perform steps listed under 'Test Steps', note down your observations under 'Actual Result', and choose Status ('Pass', 'Fail', 'Pending', 'Blocked').</t>
  </si>
  <si>
    <t>TC ID</t>
  </si>
  <si>
    <t>Module</t>
  </si>
  <si>
    <t>Test Case Summary</t>
  </si>
  <si>
    <t>Pre-conditions</t>
  </si>
  <si>
    <t>Test Steps</t>
  </si>
  <si>
    <t>Test Data / Input</t>
  </si>
  <si>
    <t>Expected Result</t>
  </si>
  <si>
    <t>Status</t>
  </si>
  <si>
    <t>Priority</t>
  </si>
  <si>
    <t>Actual Result</t>
  </si>
  <si>
    <t>Notes / Remarks</t>
  </si>
  <si>
    <t>TC_AUTH_01</t>
  </si>
  <si>
    <t>Authentication</t>
  </si>
  <si>
    <t>Verify Full Name length restriction (&gt; 50 chars)</t>
  </si>
  <si>
    <t>User is on Signup page (/signup)</t>
  </si>
  <si>
    <t>1. Enter Full Name containing more than 50 characters
2. Fill valid email and password
3. Click 'Create Account'</t>
  </si>
  <si>
    <t>Full Name: 'Ayush Chaubey Extremely Long Name For Verification Over Fifty Chars'</t>
  </si>
  <si>
    <t>Validation error displayed: 'Full name cannot exceed 50 characters.' Signup blocked.</t>
  </si>
  <si>
    <t>P1 - Critical</t>
  </si>
  <si>
    <t>Field regex / length limit verification</t>
  </si>
  <si>
    <t>TC_AUTH_02</t>
  </si>
  <si>
    <t>Verify Full Name character restriction (Special symbols rejected)</t>
  </si>
  <si>
    <t>1. Enter Full Name with special characters (@, #, $, !)
2. Fill email and password
3. Click 'Create Account'</t>
  </si>
  <si>
    <t>Full Name: 'Ayush@Chaubey#123'</t>
  </si>
  <si>
    <t>Validation error displayed: 'Full name can only contain letters, numbers, and spaces.' Signup blocked.</t>
  </si>
  <si>
    <t>Prevents XSS / illegal characters</t>
  </si>
  <si>
    <t>TC_AUTH_03</t>
  </si>
  <si>
    <t>Verify Password minimum length (&lt; 8 chars rejected)</t>
  </si>
  <si>
    <t>1. Enter valid Full Name
2. Enter password with less than 8 characters
3. Click 'Create Account'</t>
  </si>
  <si>
    <t>Password: 'Pass1!' (6 chars)</t>
  </si>
  <si>
    <t>Validation error displayed: 'Password must be at least 8 characters long.'</t>
  </si>
  <si>
    <t>Password policy check</t>
  </si>
  <si>
    <t>TC_AUTH_04</t>
  </si>
  <si>
    <t>Verify Password complexity rules (Missing uppercase or special char)</t>
  </si>
  <si>
    <t>1. Enter valid Full Name and email
2. Enter password missing uppercase letter (e.g. 'alllowercase123!')
3. Enter password missing special symbol
4. Click 'Create Account'</t>
  </si>
  <si>
    <t>Password 1: 'lowercase123!'
Password 2: 'Uppercase1234'</t>
  </si>
  <si>
    <t>Appropriate validation error displayed for missing uppercase letter (A-Z) or special symbol.</t>
  </si>
  <si>
    <t>Must have: 1 upper, 1 lower, 1 digit, 1 special</t>
  </si>
  <si>
    <t>TC_AUTH_05</t>
  </si>
  <si>
    <t>Verify Successful User Registration &amp; OTP Dispatch</t>
  </si>
  <si>
    <t>1. Enter valid Full Name (&lt;50 chars, letters only)
2. Enter new valid email address
3. Enter strong password
4. Click 'Create Account'</t>
  </si>
  <si>
    <t>Full Name: 'Ayush Chaubey'
Email: 'newuser@example.com'
Password: 'StrongPass@2026'</t>
  </si>
  <si>
    <t>Account created successfully. User is navigated to OTP verification modal/screen with confirmation message.</t>
  </si>
  <si>
    <t>Check both UI confirmation and inbox/console</t>
  </si>
  <si>
    <t>TC_AUTH_06</t>
  </si>
  <si>
    <t>Verify Duplicate Email Registration Rejection</t>
  </si>
  <si>
    <t>1. Enter an email that is already registered
2. Fill remaining valid fields
3. Click 'Create Account'</t>
  </si>
  <si>
    <t>Email: Already registered email address</t>
  </si>
  <si>
    <t>Error toast / alert displayed: 'An account with this email already exists.' Signup blocked.</t>
  </si>
  <si>
    <t>P2 - High</t>
  </si>
  <si>
    <t>Ensures email uniqueness in DB</t>
  </si>
  <si>
    <t>TC_AUTH_07</t>
  </si>
  <si>
    <t>Verify Login with Incorrect Password</t>
  </si>
  <si>
    <t>User is on Login page (/login)</t>
  </si>
  <si>
    <t>1. Enter valid registered email
2. Enter incorrect password
3. Click 'Sign In'</t>
  </si>
  <si>
    <t>Email: Valid email
Password: 'WrongPassword@999'</t>
  </si>
  <si>
    <t>Error message displayed: 'Incorrect email or password'. User is not logged in.</t>
  </si>
  <si>
    <t>Unauthorized 401 check</t>
  </si>
  <si>
    <t>TC_AUTH_08</t>
  </si>
  <si>
    <t>Verify Successful Login &amp; JWT Token Persistence</t>
  </si>
  <si>
    <t>1. Enter registered email and correct password
2. Click 'Sign In'
3. Observe browser navigation and LocalStorage</t>
  </si>
  <si>
    <t>Email: Registered email
Password: Correct password</t>
  </si>
  <si>
    <t>User logged in successfully, redirected to Dashboard / Home. JWT token stored in browser localStorage.</t>
  </si>
  <si>
    <t>Inspect DevTools &gt; Application &gt; LocalStorage</t>
  </si>
  <si>
    <t>TC_AUTH_09</t>
  </si>
  <si>
    <t>Verify Google OAuth Sign-in Flow</t>
  </si>
  <si>
    <t>User is on Login/Signup page with configured Google Client ID</t>
  </si>
  <si>
    <t>1. Click 'Continue with Google' button
2. Choose Google Account in popup
3. Complete authorization</t>
  </si>
  <si>
    <t>Valid Google Account credentials</t>
  </si>
  <si>
    <t>Google identity authenticated, user logged in, JWT token issued and redirected to dashboard.</t>
  </si>
  <si>
    <t>Requires valid Google OAuth Client ID setup</t>
  </si>
  <si>
    <t>TC_WIZ_01</t>
  </si>
  <si>
    <t>Creation Wizard</t>
  </si>
  <si>
    <t>Verify Opening Website Creation Wizard Modal</t>
  </si>
  <si>
    <t>User is logged in on Home or Dashboard page</t>
  </si>
  <si>
    <t>1. Click 'Generate Website' / 'Create New Website' button</t>
  </si>
  <si>
    <t>N/A</t>
  </si>
  <si>
    <t>Creation Wizard Modal opens smoothly with clean dark/light UI and step progression indicator.</t>
  </si>
  <si>
    <t>Inspect modal animations &amp; backdrop</t>
  </si>
  <si>
    <t>TC_WIZ_02</t>
  </si>
  <si>
    <t>Verify Real-world Demand Categories Selection</t>
  </si>
  <si>
    <t>Creation Wizard is open on Step 1 (Category)</t>
  </si>
  <si>
    <t>1. Review category options: Saloon/Spa, Fitness/Gym, Coaching/Education, Bakery/Cafe, Interior Design, Freelancer
2. Click 'Saloon &amp; Luxury Spa'</t>
  </si>
  <si>
    <t>Selected Category: 'Saloon &amp; Luxury Spa'</t>
  </si>
  <si>
    <t>Category selected with visual active highlight/border. Non-relevant categories like generic corporate tech are excluded.</t>
  </si>
  <si>
    <t>Matches non-technical user target domains</t>
  </si>
  <si>
    <t>TC_WIZ_03</t>
  </si>
  <si>
    <t>Verify Single-Page vs Multi-Page Mode Toggle</t>
  </si>
  <si>
    <t>Creation Wizard Step 1 / Type selection</t>
  </si>
  <si>
    <t>1. Toggle between 'Single Page (SPA)' and 'Multi-Page Website'
2. Observe dynamic form updates</t>
  </si>
  <si>
    <t>Toggle selection</t>
  </si>
  <si>
    <t>When 'Multi-Page' is selected, pages configuration panel appears with default checkboxes and custom page addition.</t>
  </si>
  <si>
    <t>UI should conditionally reveal page selectors</t>
  </si>
  <si>
    <t>TC_WIZ_04</t>
  </si>
  <si>
    <t>Verify Mobile Number Country Code Dropdown (Default India +91)</t>
  </si>
  <si>
    <t>Creation Wizard Step 2 / Contact Information</t>
  </si>
  <si>
    <t>1. Locate Phone Number input field
2. Inspect the country code dropdown
3. Click dropdown and change country code</t>
  </si>
  <si>
    <t>Default selected: '+91 (India)'</t>
  </si>
  <si>
    <t>Country code dropdown defaults to '+91 (India)'. User can choose from standard country codes.</t>
  </si>
  <si>
    <t>Default should be India (+91)</t>
  </si>
  <si>
    <t>TC_WIZ_05</t>
  </si>
  <si>
    <t>Verify Indian Mobile Number 10-Digit Validation</t>
  </si>
  <si>
    <t>Creation Wizard Contact step</t>
  </si>
  <si>
    <t>1. Enter 8 digits (e.g. '98765432')
2. Enter 10 digits starting with '1' or '2' (e.g. '1234567890')
3. Enter valid 10 digits starting with 6, 7, 8, or 9</t>
  </si>
  <si>
    <t>Invalid: '98765432' or '1234567890'
Valid: '9876543210'</t>
  </si>
  <si>
    <t>Invalid inputs trigger warning/validation: 'Please enter a valid 10-digit Indian mobile number (starts with 6, 7, 8, or 9)'. Valid number accepted.</t>
  </si>
  <si>
    <t>Regex: /^[6-9]\d{9}$/</t>
  </si>
  <si>
    <t>TC_WIZ_06</t>
  </si>
  <si>
    <t>Verify Theme &amp; Color Palette Selection</t>
  </si>
  <si>
    <t>Creation Wizard Step 3 / Styling</t>
  </si>
  <si>
    <t>1. Select Theme Mode: Light / Dark
2. Choose Primary Color palette (e.g. Royal Gold, Emerald, Ocean Blue)</t>
  </si>
  <si>
    <t>Theme: Dark, Primary Color: Gold (#D4AF37)</t>
  </si>
  <si>
    <t>Selected theme and palette visually reflected in preview swatch and saved into configuration JSON.</t>
  </si>
  <si>
    <t>Color tokens will feed into CSS variables</t>
  </si>
  <si>
    <t>TC_WIZ_07</t>
  </si>
  <si>
    <t>Verify Extended Business Data Collection JSON</t>
  </si>
  <si>
    <t>Creation Wizard Step 3 before generation</t>
  </si>
  <si>
    <t>1. Fill Business Name, Tagline, Target Audience, Key Services, Business Hours, Physical Address
2. Click 'Generate Website'</t>
  </si>
  <si>
    <t>Business: 'Aura Unisex Saloon'
Tagline: 'Redefining Elegance'
Address: 'Civil Lines, Delhi'</t>
  </si>
  <si>
    <t>All inputs collected into structured JSON payload without data truncation and sent to AI generation API.</t>
  </si>
  <si>
    <t>Check Network Tab payload for complete fields</t>
  </si>
  <si>
    <t>TC_SPA_01</t>
  </si>
  <si>
    <t>Single-Page (SPA)</t>
  </si>
  <si>
    <t>Verify Single-Page Website Generation Execution</t>
  </si>
  <si>
    <t>Creation Wizard filled with Single-Page option</t>
  </si>
  <si>
    <t>1. Click 'Generate Website'
2. Observe loading state, step spinner, and timer</t>
  </si>
  <si>
    <t>Category: Fitness / Gym
Type: Single Page</t>
  </si>
  <si>
    <t>Loading progress displays phases (Prompt synthesis, layout generation). Completes within timeout and opens Preview.</t>
  </si>
  <si>
    <t>Generation should not timeout</t>
  </si>
  <si>
    <t>TC_SPA_02</t>
  </si>
  <si>
    <t>Verify Comprehensive Single-Page Section Layout</t>
  </si>
  <si>
    <t>Preview Page after SPA generation</t>
  </si>
  <si>
    <t>1. Scroll through generated SPA preview
2. Verify presence of: Navigation Header, Hero Banner, About/Story, Core Offerings, Pricing Tiers, FAQ Accordion, CTA, Footer</t>
  </si>
  <si>
    <t>Generated Gym / Fitness SPA</t>
  </si>
  <si>
    <t>All sections render with rich imagery, clear headings, typography matching the selected font, and working anchor links.</t>
  </si>
  <si>
    <t>Inspect full vertical scroll</t>
  </si>
  <si>
    <t>TC_SPA_03</t>
  </si>
  <si>
    <t>Verify Zero Corporate Jargon (Real Domain Content)</t>
  </si>
  <si>
    <t>1. Inspect copy across About, Offerings, and FAQ
2. Verify absence of generic SaaS phrases like 'How We Deliver Excellence', 'Cloud infrastructure', 'Agile delivery'</t>
  </si>
  <si>
    <t>Generated Saloon or Gym site</t>
  </si>
  <si>
    <t>All text is 100% relevant to the salon or gym (e.g. haircuts, personal trainers, memberships, hygiene protocols). Zero tech jargon.</t>
  </si>
  <si>
    <t>Legal &amp; authentic domain copy</t>
  </si>
  <si>
    <t>TC_SPA_04</t>
  </si>
  <si>
    <t>Verify Dark / Light Theme Switching in Preview</t>
  </si>
  <si>
    <t>Preview Page toolbar</t>
  </si>
  <si>
    <t>1. Click Theme toggle button (Sun / Moon icon)
2. Inspect background, card contrast, text color, and button borders</t>
  </si>
  <si>
    <t>Toggle between Dark and Light mode</t>
  </si>
  <si>
    <t>Preview instantly shifts theme: dark background with crisp white text or light clean background with dark text. No unreadable gray-on-gray text.</t>
  </si>
  <si>
    <t>Ensure dynamic CSS variables adapt</t>
  </si>
  <si>
    <t>TC_MP_01</t>
  </si>
  <si>
    <t>Multi-Page &amp; Custom</t>
  </si>
  <si>
    <t>Verify Multi-Page Default Preset Selection / Deselection</t>
  </si>
  <si>
    <t>Creation Wizard in Multi-Page Mode</t>
  </si>
  <si>
    <t>1. Inspect preset page checkboxes (About Us, Services, Pricing, Contact Us, Gallery)
2. Uncheck 'Gallery'
3. Leave others checked</t>
  </si>
  <si>
    <t>Pages: Home, About Us, Services, Pricing, Contact Us</t>
  </si>
  <si>
    <t>Unchecked pages are excluded from generation; checked pages remain selected in configuration.</t>
  </si>
  <si>
    <t>User can choose only the pages they want</t>
  </si>
  <si>
    <t>TC_MP_02</t>
  </si>
  <si>
    <t>Verify Adding a Manual Custom Page with Custom Prompt</t>
  </si>
  <si>
    <t>1. Locate 'Add Custom Page' section
2. Enter Page Name: 'Faculty &amp; Mentors'
3. Enter Custom AI Prompt: 'List top IIT-JEE faculty with qualifications and mentor achievements'
4. Click 'Add Page'</t>
  </si>
  <si>
    <t>Page Name: 'Faculty &amp; Mentors'
Prompt: 'List top IIT-JEE faculty with qualifications and mentor achievements'</t>
  </si>
  <si>
    <t>Custom page badge added with title and preview of prompt. Input fields reset for next entry.</t>
  </si>
  <si>
    <t>Tests manual custom page creation</t>
  </si>
  <si>
    <t>TC_MP_03</t>
  </si>
  <si>
    <t>Verify Adding Multiple Custom Pages &amp; Removing a Page</t>
  </si>
  <si>
    <t>1. Add second custom page: 'Admission Process' with prompt 'Detailed step by step admission procedure, entrance test and scholarship info'
2. Click remove (x / trash icon) on one of the custom pages
3. Verify page is removed</t>
  </si>
  <si>
    <t>Custom pages: 'Admission Process', 'Faculty &amp; Mentors'</t>
  </si>
  <si>
    <t>Custom pages list dynamically updates; removed page is deleted from JSON payload.</t>
  </si>
  <si>
    <t>State management test</t>
  </si>
  <si>
    <t>TC_MP_04</t>
  </si>
  <si>
    <t>Verify Multi-Page Website Generation with Custom Pages</t>
  </si>
  <si>
    <t>Creation Wizard ready with Coaching Category + 2 Custom Pages</t>
  </si>
  <si>
    <t>1. Click 'Generate Website'
2. Wait for AI generation completion
3. Observe redirection to Preview</t>
  </si>
  <si>
    <t>Category: Coaching Institute
Custom Pages: 'Faculty &amp; Mentors', 'Admission Process'</t>
  </si>
  <si>
    <t>Generation completes successfully. Multi-page payload received with separate page structures for each selected and custom page.</t>
  </si>
  <si>
    <t>FastAPI + Gemini synthesis test</t>
  </si>
  <si>
    <t>TC_MP_05</t>
  </si>
  <si>
    <t>Verify Preview Navigation Between Pages</t>
  </si>
  <si>
    <t>Preview Page of Multi-Page website</t>
  </si>
  <si>
    <t>1. Inspect navbar / page tabs on top
2. Click 'Services'
3. Click 'Faculty &amp; Mentors'
4. Click 'Admission Process'</t>
  </si>
  <si>
    <t>Clicking through page tabs in Preview</t>
  </si>
  <si>
    <t>Preview view switches seamlessly to the active page without full reload, rendering that specific page's hero, story, and cards.</t>
  </si>
  <si>
    <t>Client-side tab switching in Preview.jsx</t>
  </si>
  <si>
    <t>TC_MP_06</t>
  </si>
  <si>
    <t>Verify Custom Page Content Synthesis from Prompt</t>
  </si>
  <si>
    <t>Preview active on 'Faculty &amp; Mentors' page</t>
  </si>
  <si>
    <t>1. Inspect Hero title and subtitle
2. Read About narrative paragraphs
3. Inspect Offerings / Profile cards</t>
  </si>
  <si>
    <t>Custom page: 'Faculty &amp; Mentors'</t>
  </si>
  <si>
    <t>Content reflects the user's custom prompt: displays faculty names, mentor credentials, and student success guidance. Not generic filler.</t>
  </si>
  <si>
    <t>AI prompt adherence verification</t>
  </si>
  <si>
    <t>TC_EXP_01</t>
  </si>
  <si>
    <t>Export Engine</t>
  </si>
  <si>
    <t>Verify Export Website to ZIP Download</t>
  </si>
  <si>
    <t>Preview Page of generated website</t>
  </si>
  <si>
    <t>1. Click 'Export Website' / 'Download ZIP' button in top toolbar
2. Observe browser file download</t>
  </si>
  <si>
    <t>Generated website ID</t>
  </si>
  <si>
    <t>ZIP file downloads automatically (e.g. 'Aura_Saloon_website.zip') with clean HTTP 200 response.</t>
  </si>
  <si>
    <t>Check ZIP file size and integrity</t>
  </si>
  <si>
    <t>TC_EXP_02</t>
  </si>
  <si>
    <t>Verify ZIP Internal File Structure</t>
  </si>
  <si>
    <t>Downloaded ZIP file</t>
  </si>
  <si>
    <t>1. Extract ZIP archive to a local folder
2. Inspect folder contents</t>
  </si>
  <si>
    <t>Extracted files</t>
  </si>
  <si>
    <t>Contains: 'index.html', 'style.css', plus individual HTML files for each page ('about_us.html', 'services.html', 'faculty_mentors.html', 'admission_process.html').</t>
  </si>
  <si>
    <t>All multi-page files must exist</t>
  </si>
  <si>
    <t>TC_EXP_03</t>
  </si>
  <si>
    <t>Verify Standalone Local Execution in Browser</t>
  </si>
  <si>
    <t>Extracted website folder</t>
  </si>
  <si>
    <t>1. Double click 'index.html' to open in Google Chrome / Edge without any server
2. Verify layout, images, and styling</t>
  </si>
  <si>
    <t>File protocol: file:///path/index.html</t>
  </si>
  <si>
    <t>Website renders completely with full CSS styling, responsive grid, and high quality Unsplash images loaded via CDN.</t>
  </si>
  <si>
    <t>Must work offline / without Node.js</t>
  </si>
  <si>
    <t>TC_EXP_04</t>
  </si>
  <si>
    <t>Verify Dynamic Theme CSS Variables in style.css</t>
  </si>
  <si>
    <t>Extracted 'style.css' file</t>
  </si>
  <si>
    <t>1. Open 'style.css' in text editor
2. Inspect root CSS variables and theme classes</t>
  </si>
  <si>
    <t>style.css</t>
  </si>
  <si>
    <t>Variables '--header-bg', '--text-color', '--card-bg', and '--accent-color' properly set matching user's selected theme (dark or light).</t>
  </si>
  <si>
    <t>No unreadable contrast issues</t>
  </si>
  <si>
    <t>TC_EXP_05</t>
  </si>
  <si>
    <t>Verify Inter-Page Navigation Links in Standalone HTML</t>
  </si>
  <si>
    <t>Extracted website in browser</t>
  </si>
  <si>
    <t>1. On 'index.html', click 'Faculty &amp; Mentors' link in navigation
2. On 'faculty_mentors.html', click 'Admission Process'
3. Click 'Home'</t>
  </si>
  <si>
    <t>Navbar links: 'faculty_mentors.html', 'admission_process.html', 'index.html'</t>
  </si>
  <si>
    <t>Browser navigates cleanly between HTML files using relative paths without 404 errors.</t>
  </si>
  <si>
    <t>Relative link verification</t>
  </si>
  <si>
    <t>TC_EXP_06</t>
  </si>
  <si>
    <t>Verify Interactive Booking Modal Trigger on Buttons</t>
  </si>
  <si>
    <t>Extracted 'index.html' in browser</t>
  </si>
  <si>
    <t>1. Click 'Book Appointment' / 'Get Started' button in Hero or Services section
2. Observe modal popup</t>
  </si>
  <si>
    <t>Click CTA button</t>
  </si>
  <si>
    <t>Interactive booking modal opens with backdrop overlay, displaying form for Name, Email, Country Code, Phone Number, Date, and Message.</t>
  </si>
  <si>
    <t>Every button must be functional</t>
  </si>
  <si>
    <t>TC_EXP_07</t>
  </si>
  <si>
    <t>Verify Phone Number Validation in Exported Booking Modal</t>
  </si>
  <si>
    <t>Booking modal open on standalone HTML page</t>
  </si>
  <si>
    <t>1. Fill Name and Email
2. Keep country code as '+91 (India)'
3. Enter phone '12345' (invalid length)
4. Click 'Confirm Booking'
5. Enter '9876543210' (valid)
6. Click 'Confirm Booking'</t>
  </si>
  <si>
    <t>Phone: '12345' vs '9876543210'</t>
  </si>
  <si>
    <t>Invalid phone shows error alert: 'Please enter a valid 10-digit Indian mobile number'. Valid phone succeeds and shows confirmation toast.</t>
  </si>
  <si>
    <t>Client-side modal script validation</t>
  </si>
  <si>
    <t>TC_EXP_08</t>
  </si>
  <si>
    <t>Verify Modal Close and Dismiss Actions</t>
  </si>
  <si>
    <t>Booking modal open on exported site</t>
  </si>
  <si>
    <t>1. Click 'X' close button at top right of modal
2. Open modal again and click on dark backdrop outside modal</t>
  </si>
  <si>
    <t>Click 'X' or backdrop</t>
  </si>
  <si>
    <t>Modal closes smoothly in both cases. Focus returns to the page.</t>
  </si>
  <si>
    <t>P3 - Medium</t>
  </si>
  <si>
    <t>Modal UX verification</t>
  </si>
  <si>
    <t>TC_CHAT_01</t>
  </si>
  <si>
    <t>AI Chatbot</t>
  </si>
  <si>
    <t>Verify Chatbot Floating Launcher Toggle</t>
  </si>
  <si>
    <t>Application page (Home or Preview)</t>
  </si>
  <si>
    <t>1. Locate floating AI chatbot bubble at bottom right
2. Click the chat icon
3. Click close/minimize button</t>
  </si>
  <si>
    <t>Click chat widget</t>
  </si>
  <si>
    <t>Chat widget expands into interactive chat window with welcome message and input field. Closes upon clicking minimize.</t>
  </si>
  <si>
    <t>Chatbot UI component</t>
  </si>
  <si>
    <t>TC_CHAT_02</t>
  </si>
  <si>
    <t>Verify Sending Question and AI Response</t>
  </si>
  <si>
    <t>Chatbot window open</t>
  </si>
  <si>
    <t>1. Type: 'How do I change the font and primary color in my exported website?'
2. Press Enter or click Send</t>
  </si>
  <si>
    <t>Prompt: 'How do I change the font and primary color in my exported website?'</t>
  </si>
  <si>
    <t>User message appears on right. Typing indicator shows. AI response appears within seconds providing accurate styling instructions.</t>
  </si>
  <si>
    <t>Endpoint: POST /api/chatbot/query</t>
  </si>
  <si>
    <t>TC_CHAT_03</t>
  </si>
  <si>
    <t>Verify Chatbot Resilience on Empty or Rapid Inputs</t>
  </si>
  <si>
    <t>1. Try sending whitespace or empty text
2. Send 2 questions sequentially</t>
  </si>
  <si>
    <t>Input: Whitespace / consecutive messages</t>
  </si>
  <si>
    <t>Empty message is prevented. Chatbot handles consecutive queries gracefully without UI freeze or crash.</t>
  </si>
  <si>
    <t>Input guardrails</t>
  </si>
  <si>
    <t>TC_DASH_01</t>
  </si>
  <si>
    <t>Dashboard</t>
  </si>
  <si>
    <t>Verify Display of Generated Websites on Dashboard</t>
  </si>
  <si>
    <t>User is logged in on Dashboard page (/dashboard)</t>
  </si>
  <si>
    <t>1. Navigate to Dashboard
2. Review list/cards of created projects</t>
  </si>
  <si>
    <t>User has previously generated 1 or more websites</t>
  </si>
  <si>
    <t>All generated projects display in a clean grid showing Website Name, Category, Creation Date, and Action Buttons.</t>
  </si>
  <si>
    <t>Endpoint: GET /api/dashboard/projects</t>
  </si>
  <si>
    <t>TC_DASH_02</t>
  </si>
  <si>
    <t>Verify Opening Existing Project in Preview</t>
  </si>
  <si>
    <t>Dashboard page with project cards</t>
  </si>
  <si>
    <t>1. Click 'Preview' / 'Open' button on any project card</t>
  </si>
  <si>
    <t>Existing project card clicked</t>
  </si>
  <si>
    <t>User is redirected to Preview page with full website structure loaded from DB.</t>
  </si>
  <si>
    <t>Project retrieval flow</t>
  </si>
  <si>
    <t>TC_DASH_03</t>
  </si>
  <si>
    <t>Verify Re-exporting Project from Dashboard</t>
  </si>
  <si>
    <t>1. Click 'Export ZIP' directly on a dashboard project card</t>
  </si>
  <si>
    <t>Click Export ZIP</t>
  </si>
  <si>
    <t>ZIP archive downloads immediately without needing to regenerate the website.</t>
  </si>
  <si>
    <t>Direct export convenience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</si>
</sst>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 x14ac:knownFonts="1">
    <font>
      <sz val="11"/>
      <color theme="1"/>
      <name val="Calibri"/>
      <family val="2"/>
      <scheme val="minor"/>
    </font>
    <font>
      <b/>
      <sz val="16"/>
      <color rgb="FF1E3A8A"/>
      <name val="Calibri"/>
    </font>
    <font>
      <i/>
      <sz val="11"/>
      <color rgb="FF475569"/>
      <name val="Calibri"/>
    </font>
    <font>
      <b/>
      <sz val="10"/>
      <color rgb="FF0F172A"/>
      <name val="Calibri"/>
    </font>
    <font>
      <sz val="10"/>
      <color rgb="FF0F172A"/>
      <name val="Calibri"/>
    </font>
    <font>
      <b/>
      <sz val="11"/>
      <color rgb="FFFFFFFF"/>
      <name val="Calibri"/>
    </font>
    <font>
      <b/>
      <sz val="10"/>
      <color rgb="FFFFFFFF"/>
      <name val="Calibri"/>
    </font>
    <font>
      <b/>
      <sz val="12"/>
      <color rgb="FF1E3A8A"/>
      <name val="Calibri"/>
    </font>
  </fonts>
  <fills count="11">
    <fill>
      <patternFill patternType="none"/>
    </fill>
    <fill>
      <patternFill patternType="gray125"/>
    </fill>
    <fill>
      <patternFill patternType="solid">
        <fgColor rgb="FFEFF6FF"/>
        <bgColor rgb="FFEFF6FF"/>
      </patternFill>
    </fill>
    <fill>
      <patternFill patternType="solid">
        <fgColor rgb="FF1E3A8A"/>
        <bgColor rgb="FF1E3A8A"/>
      </patternFill>
    </fill>
    <fill>
      <patternFill patternType="solid">
        <fgColor rgb="FF3B82F6"/>
        <bgColor rgb="FF3B82F6"/>
      </patternFill>
    </fill>
    <fill>
      <patternFill patternType="solid">
        <fgColor rgb="FFD1FAE5"/>
        <bgColor rgb="FFD1FAE5"/>
      </patternFill>
    </fill>
    <fill>
      <patternFill patternType="solid">
        <fgColor rgb="FFFEE2E2"/>
        <bgColor rgb="FFFEE2E2"/>
      </patternFill>
    </fill>
    <fill>
      <patternFill patternType="solid">
        <fgColor rgb="FFFEF3C7"/>
        <bgColor rgb="FFFEF3C7"/>
      </patternFill>
    </fill>
    <fill>
      <patternFill patternType="solid">
        <fgColor rgb="FFE2E8F0"/>
        <bgColor rgb="FFE2E8F0"/>
      </patternFill>
    </fill>
    <fill>
      <patternFill patternType="solid">
        <fgColor rgb="FFFFFFFF"/>
        <bgColor rgb="FFFFFFFF"/>
      </patternFill>
    </fill>
    <fill>
      <patternFill patternType="solid">
        <fgColor rgb="FFF8FAFC"/>
        <bgColor rgb="FFF8FAFC"/>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medium">
        <color rgb="FF1E3A8A"/>
      </bottom>
      <diagonal/>
    </border>
  </borders>
  <cellStyleXfs count="1">
    <xf numFmtId="0" fontId="0" fillId="0" borderId="0"/>
  </cellStyleXfs>
  <cellXfs count="29">
    <xf numFmtId="0" fontId="0" fillId="0" borderId="0" xfId="0"/>
    <xf numFmtId="0" fontId="3" fillId="2" borderId="1" xfId="0" applyFont="1" applyFill="1" applyBorder="1"/>
    <xf numFmtId="0" fontId="4" fillId="0" borderId="1" xfId="0" applyFont="1" applyBorder="1"/>
    <xf numFmtId="0" fontId="6" fillId="4" borderId="1" xfId="0" applyFont="1" applyFill="1" applyBorder="1" applyAlignment="1">
      <alignment horizontal="center" vertical="center"/>
    </xf>
    <xf numFmtId="0" fontId="3" fillId="0" borderId="1" xfId="0" applyFont="1" applyBorder="1"/>
    <xf numFmtId="0" fontId="4" fillId="0" borderId="1" xfId="0" applyFont="1" applyBorder="1" applyAlignment="1">
      <alignment horizontal="center"/>
    </xf>
    <xf numFmtId="164" fontId="0" fillId="0" borderId="1" xfId="0" applyNumberFormat="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7" fillId="0" borderId="0" xfId="0" applyFont="1"/>
    <xf numFmtId="0" fontId="6" fillId="3" borderId="1" xfId="0" applyFont="1" applyFill="1" applyBorder="1"/>
    <xf numFmtId="0" fontId="3" fillId="0" borderId="1" xfId="0" applyFont="1" applyBorder="1" applyAlignment="1">
      <alignment horizontal="center"/>
    </xf>
    <xf numFmtId="0" fontId="5" fillId="3" borderId="2"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2" fillId="0" borderId="0" xfId="0" applyFont="1" applyAlignment="1">
      <alignment vertical="center"/>
    </xf>
    <xf numFmtId="0" fontId="0" fillId="0" borderId="0" xfId="0"/>
    <xf numFmtId="0" fontId="1" fillId="0" borderId="0" xfId="0" applyFont="1" applyAlignment="1">
      <alignment vertical="center"/>
    </xf>
    <xf numFmtId="0" fontId="5" fillId="3" borderId="0" xfId="0" applyFont="1" applyFill="1" applyAlignment="1">
      <alignment horizontal="center" vertical="center"/>
    </xf>
    <xf numFmtId="0" fontId="1" fillId="0" borderId="0" xfId="0" applyFont="1" applyAlignment="1">
      <alignment vertical="center" wrapText="1"/>
    </xf>
    <xf numFmtId="0" fontId="0" fillId="0" borderId="0" xfId="0" applyAlignment="1">
      <alignment wrapText="1"/>
    </xf>
    <xf numFmtId="0" fontId="0" fillId="0" borderId="0" xfId="0" applyAlignment="1">
      <alignment wrapText="1"/>
    </xf>
    <xf numFmtId="0" fontId="2" fillId="0" borderId="0" xfId="0" applyFont="1" applyAlignment="1">
      <alignment wrapText="1"/>
    </xf>
    <xf numFmtId="0" fontId="3" fillId="9"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0" fontId="4" fillId="10"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opLeftCell="A6" workbookViewId="0">
      <selection sqref="A1:G1"/>
    </sheetView>
  </sheetViews>
  <sheetFormatPr defaultRowHeight="14.5" x14ac:dyDescent="0.35"/>
  <cols>
    <col min="1" max="1" width="38" customWidth="1"/>
    <col min="2" max="2" width="28" customWidth="1"/>
    <col min="3" max="4" width="18" customWidth="1"/>
    <col min="5" max="7" width="16" customWidth="1"/>
  </cols>
  <sheetData>
    <row r="1" spans="1:7" ht="35" customHeight="1" x14ac:dyDescent="0.35">
      <c r="A1" s="19" t="s">
        <v>0</v>
      </c>
      <c r="B1" s="18"/>
      <c r="C1" s="18"/>
      <c r="D1" s="18"/>
      <c r="E1" s="18"/>
      <c r="F1" s="18"/>
      <c r="G1" s="18"/>
    </row>
    <row r="2" spans="1:7" ht="20" customHeight="1" x14ac:dyDescent="0.35">
      <c r="A2" s="17" t="s">
        <v>1</v>
      </c>
      <c r="B2" s="18"/>
      <c r="C2" s="18"/>
      <c r="D2" s="18"/>
      <c r="E2" s="18"/>
      <c r="F2" s="18"/>
      <c r="G2" s="18"/>
    </row>
    <row r="4" spans="1:7" ht="22" customHeight="1" x14ac:dyDescent="0.35">
      <c r="A4" s="1" t="s">
        <v>2</v>
      </c>
      <c r="B4" s="2" t="s">
        <v>3</v>
      </c>
      <c r="D4" s="20" t="s">
        <v>4</v>
      </c>
      <c r="E4" s="18"/>
      <c r="F4" s="18"/>
      <c r="G4" s="18"/>
    </row>
    <row r="5" spans="1:7" ht="22" customHeight="1" x14ac:dyDescent="0.35">
      <c r="A5" s="1" t="s">
        <v>5</v>
      </c>
      <c r="B5" s="2" t="s">
        <v>6</v>
      </c>
      <c r="D5" s="3" t="s">
        <v>7</v>
      </c>
      <c r="E5" s="3" t="s">
        <v>8</v>
      </c>
      <c r="F5" s="3" t="s">
        <v>9</v>
      </c>
      <c r="G5" s="3" t="s">
        <v>10</v>
      </c>
    </row>
    <row r="6" spans="1:7" ht="20" customHeight="1" x14ac:dyDescent="0.35">
      <c r="A6" s="1" t="s">
        <v>11</v>
      </c>
      <c r="B6" s="2" t="s">
        <v>12</v>
      </c>
      <c r="D6" s="4" t="s">
        <v>13</v>
      </c>
      <c r="E6" s="5">
        <f>COUNTIF('Manual Test Cases'!H5:H50, "Pass")</f>
        <v>0</v>
      </c>
      <c r="F6" s="6">
        <f>IF(B8&gt;0, E6/B8, 0)</f>
        <v>0</v>
      </c>
      <c r="G6" s="7" t="s">
        <v>14</v>
      </c>
    </row>
    <row r="7" spans="1:7" ht="20" customHeight="1" x14ac:dyDescent="0.35">
      <c r="A7" s="1" t="s">
        <v>15</v>
      </c>
      <c r="B7" s="2" t="s">
        <v>16</v>
      </c>
      <c r="D7" s="4" t="s">
        <v>17</v>
      </c>
      <c r="E7" s="5">
        <f>COUNTIF('Manual Test Cases'!H5:H50, "Fail")</f>
        <v>0</v>
      </c>
      <c r="F7" s="6">
        <f>IF(B8&gt;0, E7/B8, 0)</f>
        <v>0</v>
      </c>
      <c r="G7" s="8" t="s">
        <v>18</v>
      </c>
    </row>
    <row r="8" spans="1:7" ht="20" customHeight="1" x14ac:dyDescent="0.35">
      <c r="A8" s="1" t="s">
        <v>19</v>
      </c>
      <c r="B8" s="2">
        <f>COUNTA('Manual Test Cases'!A5:A50)</f>
        <v>40</v>
      </c>
      <c r="D8" s="4" t="s">
        <v>20</v>
      </c>
      <c r="E8" s="5">
        <f>COUNTIF('Manual Test Cases'!H5:H50, "Pending")</f>
        <v>40</v>
      </c>
      <c r="F8" s="6">
        <f>IF(B8&gt;0, E8/B8, 0)</f>
        <v>1</v>
      </c>
      <c r="G8" s="9" t="s">
        <v>21</v>
      </c>
    </row>
    <row r="9" spans="1:7" ht="20" customHeight="1" x14ac:dyDescent="0.35">
      <c r="D9" s="4" t="s">
        <v>22</v>
      </c>
      <c r="E9" s="5">
        <f>COUNTIF('Manual Test Cases'!H5:H50, "Blocked")</f>
        <v>0</v>
      </c>
      <c r="F9" s="6">
        <f>IF(B8&gt;0, E9/B8, 0)</f>
        <v>0</v>
      </c>
      <c r="G9" s="10" t="s">
        <v>23</v>
      </c>
    </row>
    <row r="11" spans="1:7" ht="15.5" x14ac:dyDescent="0.35">
      <c r="A11" s="11" t="s">
        <v>24</v>
      </c>
    </row>
    <row r="12" spans="1:7" x14ac:dyDescent="0.35">
      <c r="A12" s="12" t="s">
        <v>25</v>
      </c>
      <c r="B12" s="12" t="s">
        <v>26</v>
      </c>
      <c r="C12" s="12" t="s">
        <v>27</v>
      </c>
    </row>
    <row r="13" spans="1:7" ht="20" customHeight="1" x14ac:dyDescent="0.35">
      <c r="A13" s="2" t="s">
        <v>28</v>
      </c>
      <c r="B13" s="2" t="s">
        <v>29</v>
      </c>
      <c r="C13" s="13" t="s">
        <v>30</v>
      </c>
    </row>
    <row r="14" spans="1:7" ht="20" customHeight="1" x14ac:dyDescent="0.35">
      <c r="A14" s="2" t="s">
        <v>31</v>
      </c>
      <c r="B14" s="2" t="s">
        <v>32</v>
      </c>
      <c r="C14" s="13" t="s">
        <v>33</v>
      </c>
    </row>
    <row r="15" spans="1:7" ht="20" customHeight="1" x14ac:dyDescent="0.35">
      <c r="A15" s="2" t="s">
        <v>34</v>
      </c>
      <c r="B15" s="2" t="s">
        <v>35</v>
      </c>
      <c r="C15" s="13" t="s">
        <v>36</v>
      </c>
    </row>
    <row r="16" spans="1:7" ht="20" customHeight="1" x14ac:dyDescent="0.35">
      <c r="A16" s="2" t="s">
        <v>37</v>
      </c>
      <c r="B16" s="2" t="s">
        <v>38</v>
      </c>
      <c r="C16" s="13" t="s">
        <v>39</v>
      </c>
    </row>
    <row r="17" spans="1:3" ht="20" customHeight="1" x14ac:dyDescent="0.35">
      <c r="A17" s="2" t="s">
        <v>40</v>
      </c>
      <c r="B17" s="2" t="s">
        <v>41</v>
      </c>
      <c r="C17" s="13" t="s">
        <v>42</v>
      </c>
    </row>
    <row r="18" spans="1:3" ht="20" customHeight="1" x14ac:dyDescent="0.35">
      <c r="A18" s="2" t="s">
        <v>43</v>
      </c>
      <c r="B18" s="2" t="s">
        <v>44</v>
      </c>
      <c r="C18" s="13" t="s">
        <v>45</v>
      </c>
    </row>
    <row r="19" spans="1:3" ht="20" customHeight="1" x14ac:dyDescent="0.35">
      <c r="A19" s="2" t="s">
        <v>46</v>
      </c>
      <c r="B19" s="2" t="s">
        <v>47</v>
      </c>
      <c r="C19" s="13" t="s">
        <v>45</v>
      </c>
    </row>
  </sheetData>
  <mergeCells count="3">
    <mergeCell ref="A2:G2"/>
    <mergeCell ref="A1:G1"/>
    <mergeCell ref="D4:G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tabSelected="1" workbookViewId="0">
      <selection activeCell="C10" sqref="C10"/>
    </sheetView>
  </sheetViews>
  <sheetFormatPr defaultColWidth="31.453125" defaultRowHeight="14.5" x14ac:dyDescent="0.35"/>
  <cols>
    <col min="1" max="1" width="10.7265625" style="23" bestFit="1" customWidth="1"/>
    <col min="2" max="2" width="17.1796875" style="23" bestFit="1" customWidth="1"/>
    <col min="3" max="3" width="31.453125" style="23"/>
    <col min="4" max="4" width="31.36328125" style="23" bestFit="1" customWidth="1"/>
    <col min="5" max="5" width="46.26953125" style="23" bestFit="1" customWidth="1"/>
    <col min="6" max="7" width="31.26953125" style="23" bestFit="1" customWidth="1"/>
    <col min="8" max="8" width="6.90625" style="23" bestFit="1" customWidth="1"/>
    <col min="9" max="9" width="10.54296875" style="23" bestFit="1" customWidth="1"/>
    <col min="10" max="10" width="11.7265625" style="23" bestFit="1" customWidth="1"/>
    <col min="11" max="16384" width="31.453125" style="23"/>
  </cols>
  <sheetData>
    <row r="1" spans="1:11" x14ac:dyDescent="0.35">
      <c r="A1" s="21" t="s">
        <v>48</v>
      </c>
      <c r="B1" s="22"/>
      <c r="C1" s="22"/>
      <c r="D1" s="22"/>
      <c r="E1" s="22"/>
      <c r="F1" s="22"/>
      <c r="G1" s="22"/>
      <c r="H1" s="22"/>
      <c r="I1" s="22"/>
      <c r="J1" s="22"/>
      <c r="K1" s="22"/>
    </row>
    <row r="2" spans="1:11" x14ac:dyDescent="0.35">
      <c r="A2" s="24" t="s">
        <v>49</v>
      </c>
      <c r="B2" s="22"/>
      <c r="C2" s="22"/>
      <c r="D2" s="22"/>
      <c r="E2" s="22"/>
      <c r="F2" s="22"/>
      <c r="G2" s="22"/>
      <c r="H2" s="22"/>
      <c r="I2" s="22"/>
      <c r="J2" s="22"/>
      <c r="K2" s="22"/>
    </row>
    <row r="4" spans="1:11" x14ac:dyDescent="0.35">
      <c r="A4" s="14" t="s">
        <v>50</v>
      </c>
      <c r="B4" s="14" t="s">
        <v>51</v>
      </c>
      <c r="C4" s="14" t="s">
        <v>52</v>
      </c>
      <c r="D4" s="14" t="s">
        <v>53</v>
      </c>
      <c r="E4" s="14" t="s">
        <v>54</v>
      </c>
      <c r="F4" s="14" t="s">
        <v>55</v>
      </c>
      <c r="G4" s="14" t="s">
        <v>56</v>
      </c>
      <c r="H4" s="14" t="s">
        <v>57</v>
      </c>
      <c r="I4" s="14" t="s">
        <v>58</v>
      </c>
      <c r="J4" s="14" t="s">
        <v>59</v>
      </c>
      <c r="K4" s="14" t="s">
        <v>60</v>
      </c>
    </row>
    <row r="5" spans="1:11" ht="39" x14ac:dyDescent="0.35">
      <c r="A5" s="25" t="s">
        <v>61</v>
      </c>
      <c r="B5" s="15" t="s">
        <v>62</v>
      </c>
      <c r="C5" s="15" t="s">
        <v>63</v>
      </c>
      <c r="D5" s="15" t="s">
        <v>64</v>
      </c>
      <c r="E5" s="15" t="s">
        <v>65</v>
      </c>
      <c r="F5" s="15" t="s">
        <v>66</v>
      </c>
      <c r="G5" s="15" t="s">
        <v>67</v>
      </c>
      <c r="H5" s="26" t="s">
        <v>20</v>
      </c>
      <c r="I5" s="25" t="s">
        <v>68</v>
      </c>
      <c r="J5" s="15"/>
      <c r="K5" s="15" t="s">
        <v>69</v>
      </c>
    </row>
    <row r="6" spans="1:11" ht="39" x14ac:dyDescent="0.35">
      <c r="A6" s="27" t="s">
        <v>70</v>
      </c>
      <c r="B6" s="16" t="s">
        <v>62</v>
      </c>
      <c r="C6" s="16" t="s">
        <v>71</v>
      </c>
      <c r="D6" s="16" t="s">
        <v>64</v>
      </c>
      <c r="E6" s="16" t="s">
        <v>72</v>
      </c>
      <c r="F6" s="16" t="s">
        <v>73</v>
      </c>
      <c r="G6" s="16" t="s">
        <v>74</v>
      </c>
      <c r="H6" s="28" t="s">
        <v>20</v>
      </c>
      <c r="I6" s="27" t="s">
        <v>68</v>
      </c>
      <c r="J6" s="16"/>
      <c r="K6" s="16" t="s">
        <v>75</v>
      </c>
    </row>
    <row r="7" spans="1:11" ht="39" x14ac:dyDescent="0.35">
      <c r="A7" s="25" t="s">
        <v>76</v>
      </c>
      <c r="B7" s="15" t="s">
        <v>62</v>
      </c>
      <c r="C7" s="15" t="s">
        <v>77</v>
      </c>
      <c r="D7" s="15" t="s">
        <v>64</v>
      </c>
      <c r="E7" s="15" t="s">
        <v>78</v>
      </c>
      <c r="F7" s="15" t="s">
        <v>79</v>
      </c>
      <c r="G7" s="15" t="s">
        <v>80</v>
      </c>
      <c r="H7" s="26" t="s">
        <v>20</v>
      </c>
      <c r="I7" s="25" t="s">
        <v>68</v>
      </c>
      <c r="J7" s="15"/>
      <c r="K7" s="15" t="s">
        <v>81</v>
      </c>
    </row>
    <row r="8" spans="1:11" ht="65" x14ac:dyDescent="0.35">
      <c r="A8" s="27" t="s">
        <v>82</v>
      </c>
      <c r="B8" s="16" t="s">
        <v>62</v>
      </c>
      <c r="C8" s="16" t="s">
        <v>83</v>
      </c>
      <c r="D8" s="16" t="s">
        <v>64</v>
      </c>
      <c r="E8" s="16" t="s">
        <v>84</v>
      </c>
      <c r="F8" s="16" t="s">
        <v>85</v>
      </c>
      <c r="G8" s="16" t="s">
        <v>86</v>
      </c>
      <c r="H8" s="28" t="s">
        <v>20</v>
      </c>
      <c r="I8" s="27" t="s">
        <v>68</v>
      </c>
      <c r="J8" s="16"/>
      <c r="K8" s="16" t="s">
        <v>87</v>
      </c>
    </row>
    <row r="9" spans="1:11" ht="52" x14ac:dyDescent="0.35">
      <c r="A9" s="25" t="s">
        <v>88</v>
      </c>
      <c r="B9" s="15" t="s">
        <v>62</v>
      </c>
      <c r="C9" s="15" t="s">
        <v>89</v>
      </c>
      <c r="D9" s="15" t="s">
        <v>64</v>
      </c>
      <c r="E9" s="15" t="s">
        <v>90</v>
      </c>
      <c r="F9" s="15" t="s">
        <v>91</v>
      </c>
      <c r="G9" s="15" t="s">
        <v>92</v>
      </c>
      <c r="H9" s="26" t="s">
        <v>20</v>
      </c>
      <c r="I9" s="25" t="s">
        <v>68</v>
      </c>
      <c r="J9" s="15"/>
      <c r="K9" s="15" t="s">
        <v>93</v>
      </c>
    </row>
    <row r="10" spans="1:11" ht="39" x14ac:dyDescent="0.35">
      <c r="A10" s="27" t="s">
        <v>94</v>
      </c>
      <c r="B10" s="16" t="s">
        <v>62</v>
      </c>
      <c r="C10" s="16" t="s">
        <v>95</v>
      </c>
      <c r="D10" s="16" t="s">
        <v>64</v>
      </c>
      <c r="E10" s="16" t="s">
        <v>96</v>
      </c>
      <c r="F10" s="16" t="s">
        <v>97</v>
      </c>
      <c r="G10" s="16" t="s">
        <v>98</v>
      </c>
      <c r="H10" s="28" t="s">
        <v>20</v>
      </c>
      <c r="I10" s="27" t="s">
        <v>99</v>
      </c>
      <c r="J10" s="16"/>
      <c r="K10" s="16" t="s">
        <v>100</v>
      </c>
    </row>
    <row r="11" spans="1:11" ht="39" x14ac:dyDescent="0.35">
      <c r="A11" s="25" t="s">
        <v>101</v>
      </c>
      <c r="B11" s="15" t="s">
        <v>62</v>
      </c>
      <c r="C11" s="15" t="s">
        <v>102</v>
      </c>
      <c r="D11" s="15" t="s">
        <v>103</v>
      </c>
      <c r="E11" s="15" t="s">
        <v>104</v>
      </c>
      <c r="F11" s="15" t="s">
        <v>105</v>
      </c>
      <c r="G11" s="15" t="s">
        <v>106</v>
      </c>
      <c r="H11" s="26" t="s">
        <v>20</v>
      </c>
      <c r="I11" s="25" t="s">
        <v>68</v>
      </c>
      <c r="J11" s="15"/>
      <c r="K11" s="15" t="s">
        <v>107</v>
      </c>
    </row>
    <row r="12" spans="1:11" ht="39" x14ac:dyDescent="0.35">
      <c r="A12" s="27" t="s">
        <v>108</v>
      </c>
      <c r="B12" s="16" t="s">
        <v>62</v>
      </c>
      <c r="C12" s="16" t="s">
        <v>109</v>
      </c>
      <c r="D12" s="16" t="s">
        <v>103</v>
      </c>
      <c r="E12" s="16" t="s">
        <v>110</v>
      </c>
      <c r="F12" s="16" t="s">
        <v>111</v>
      </c>
      <c r="G12" s="16" t="s">
        <v>112</v>
      </c>
      <c r="H12" s="28" t="s">
        <v>20</v>
      </c>
      <c r="I12" s="27" t="s">
        <v>68</v>
      </c>
      <c r="J12" s="16"/>
      <c r="K12" s="16" t="s">
        <v>113</v>
      </c>
    </row>
    <row r="13" spans="1:11" ht="39" x14ac:dyDescent="0.35">
      <c r="A13" s="25" t="s">
        <v>114</v>
      </c>
      <c r="B13" s="15" t="s">
        <v>62</v>
      </c>
      <c r="C13" s="15" t="s">
        <v>115</v>
      </c>
      <c r="D13" s="15" t="s">
        <v>116</v>
      </c>
      <c r="E13" s="15" t="s">
        <v>117</v>
      </c>
      <c r="F13" s="15" t="s">
        <v>118</v>
      </c>
      <c r="G13" s="15" t="s">
        <v>119</v>
      </c>
      <c r="H13" s="26" t="s">
        <v>20</v>
      </c>
      <c r="I13" s="25" t="s">
        <v>99</v>
      </c>
      <c r="J13" s="15"/>
      <c r="K13" s="15" t="s">
        <v>120</v>
      </c>
    </row>
    <row r="14" spans="1:11" ht="39" x14ac:dyDescent="0.35">
      <c r="A14" s="27" t="s">
        <v>121</v>
      </c>
      <c r="B14" s="16" t="s">
        <v>122</v>
      </c>
      <c r="C14" s="16" t="s">
        <v>123</v>
      </c>
      <c r="D14" s="16" t="s">
        <v>124</v>
      </c>
      <c r="E14" s="16" t="s">
        <v>125</v>
      </c>
      <c r="F14" s="16" t="s">
        <v>126</v>
      </c>
      <c r="G14" s="16" t="s">
        <v>127</v>
      </c>
      <c r="H14" s="28" t="s">
        <v>20</v>
      </c>
      <c r="I14" s="27" t="s">
        <v>68</v>
      </c>
      <c r="J14" s="16"/>
      <c r="K14" s="16" t="s">
        <v>128</v>
      </c>
    </row>
    <row r="15" spans="1:11" ht="52" x14ac:dyDescent="0.35">
      <c r="A15" s="25" t="s">
        <v>129</v>
      </c>
      <c r="B15" s="15" t="s">
        <v>122</v>
      </c>
      <c r="C15" s="15" t="s">
        <v>130</v>
      </c>
      <c r="D15" s="15" t="s">
        <v>131</v>
      </c>
      <c r="E15" s="15" t="s">
        <v>132</v>
      </c>
      <c r="F15" s="15" t="s">
        <v>133</v>
      </c>
      <c r="G15" s="15" t="s">
        <v>134</v>
      </c>
      <c r="H15" s="26" t="s">
        <v>20</v>
      </c>
      <c r="I15" s="25" t="s">
        <v>99</v>
      </c>
      <c r="J15" s="15"/>
      <c r="K15" s="15" t="s">
        <v>135</v>
      </c>
    </row>
    <row r="16" spans="1:11" ht="52" x14ac:dyDescent="0.35">
      <c r="A16" s="27" t="s">
        <v>136</v>
      </c>
      <c r="B16" s="16" t="s">
        <v>122</v>
      </c>
      <c r="C16" s="16" t="s">
        <v>137</v>
      </c>
      <c r="D16" s="16" t="s">
        <v>138</v>
      </c>
      <c r="E16" s="16" t="s">
        <v>139</v>
      </c>
      <c r="F16" s="16" t="s">
        <v>140</v>
      </c>
      <c r="G16" s="16" t="s">
        <v>141</v>
      </c>
      <c r="H16" s="28" t="s">
        <v>20</v>
      </c>
      <c r="I16" s="27" t="s">
        <v>68</v>
      </c>
      <c r="J16" s="16"/>
      <c r="K16" s="16" t="s">
        <v>142</v>
      </c>
    </row>
    <row r="17" spans="1:11" ht="39" x14ac:dyDescent="0.35">
      <c r="A17" s="25" t="s">
        <v>143</v>
      </c>
      <c r="B17" s="15" t="s">
        <v>122</v>
      </c>
      <c r="C17" s="15" t="s">
        <v>144</v>
      </c>
      <c r="D17" s="15" t="s">
        <v>145</v>
      </c>
      <c r="E17" s="15" t="s">
        <v>146</v>
      </c>
      <c r="F17" s="15" t="s">
        <v>147</v>
      </c>
      <c r="G17" s="15" t="s">
        <v>148</v>
      </c>
      <c r="H17" s="26" t="s">
        <v>20</v>
      </c>
      <c r="I17" s="25" t="s">
        <v>99</v>
      </c>
      <c r="J17" s="15"/>
      <c r="K17" s="15" t="s">
        <v>149</v>
      </c>
    </row>
    <row r="18" spans="1:11" ht="65" x14ac:dyDescent="0.35">
      <c r="A18" s="27" t="s">
        <v>150</v>
      </c>
      <c r="B18" s="16" t="s">
        <v>122</v>
      </c>
      <c r="C18" s="16" t="s">
        <v>151</v>
      </c>
      <c r="D18" s="16" t="s">
        <v>152</v>
      </c>
      <c r="E18" s="16" t="s">
        <v>153</v>
      </c>
      <c r="F18" s="16" t="s">
        <v>154</v>
      </c>
      <c r="G18" s="16" t="s">
        <v>155</v>
      </c>
      <c r="H18" s="28" t="s">
        <v>20</v>
      </c>
      <c r="I18" s="27" t="s">
        <v>68</v>
      </c>
      <c r="J18" s="16"/>
      <c r="K18" s="16" t="s">
        <v>156</v>
      </c>
    </row>
    <row r="19" spans="1:11" ht="39" x14ac:dyDescent="0.35">
      <c r="A19" s="25" t="s">
        <v>157</v>
      </c>
      <c r="B19" s="15" t="s">
        <v>122</v>
      </c>
      <c r="C19" s="15" t="s">
        <v>158</v>
      </c>
      <c r="D19" s="15" t="s">
        <v>159</v>
      </c>
      <c r="E19" s="15" t="s">
        <v>160</v>
      </c>
      <c r="F19" s="15" t="s">
        <v>161</v>
      </c>
      <c r="G19" s="15" t="s">
        <v>162</v>
      </c>
      <c r="H19" s="26" t="s">
        <v>20</v>
      </c>
      <c r="I19" s="25" t="s">
        <v>99</v>
      </c>
      <c r="J19" s="15"/>
      <c r="K19" s="15" t="s">
        <v>163</v>
      </c>
    </row>
    <row r="20" spans="1:11" ht="39" x14ac:dyDescent="0.35">
      <c r="A20" s="27" t="s">
        <v>164</v>
      </c>
      <c r="B20" s="16" t="s">
        <v>122</v>
      </c>
      <c r="C20" s="16" t="s">
        <v>165</v>
      </c>
      <c r="D20" s="16" t="s">
        <v>166</v>
      </c>
      <c r="E20" s="16" t="s">
        <v>167</v>
      </c>
      <c r="F20" s="16" t="s">
        <v>168</v>
      </c>
      <c r="G20" s="16" t="s">
        <v>169</v>
      </c>
      <c r="H20" s="28" t="s">
        <v>20</v>
      </c>
      <c r="I20" s="27" t="s">
        <v>68</v>
      </c>
      <c r="J20" s="16"/>
      <c r="K20" s="16" t="s">
        <v>170</v>
      </c>
    </row>
    <row r="21" spans="1:11" ht="52" x14ac:dyDescent="0.35">
      <c r="A21" s="25" t="s">
        <v>171</v>
      </c>
      <c r="B21" s="15" t="s">
        <v>172</v>
      </c>
      <c r="C21" s="15" t="s">
        <v>173</v>
      </c>
      <c r="D21" s="15" t="s">
        <v>174</v>
      </c>
      <c r="E21" s="15" t="s">
        <v>175</v>
      </c>
      <c r="F21" s="15" t="s">
        <v>176</v>
      </c>
      <c r="G21" s="15" t="s">
        <v>177</v>
      </c>
      <c r="H21" s="26" t="s">
        <v>20</v>
      </c>
      <c r="I21" s="25" t="s">
        <v>68</v>
      </c>
      <c r="J21" s="15"/>
      <c r="K21" s="15" t="s">
        <v>178</v>
      </c>
    </row>
    <row r="22" spans="1:11" ht="52" x14ac:dyDescent="0.35">
      <c r="A22" s="27" t="s">
        <v>179</v>
      </c>
      <c r="B22" s="16" t="s">
        <v>172</v>
      </c>
      <c r="C22" s="16" t="s">
        <v>180</v>
      </c>
      <c r="D22" s="16" t="s">
        <v>181</v>
      </c>
      <c r="E22" s="16" t="s">
        <v>182</v>
      </c>
      <c r="F22" s="16" t="s">
        <v>183</v>
      </c>
      <c r="G22" s="16" t="s">
        <v>184</v>
      </c>
      <c r="H22" s="28" t="s">
        <v>20</v>
      </c>
      <c r="I22" s="27" t="s">
        <v>68</v>
      </c>
      <c r="J22" s="16"/>
      <c r="K22" s="16" t="s">
        <v>185</v>
      </c>
    </row>
    <row r="23" spans="1:11" ht="52" x14ac:dyDescent="0.35">
      <c r="A23" s="25" t="s">
        <v>186</v>
      </c>
      <c r="B23" s="15" t="s">
        <v>172</v>
      </c>
      <c r="C23" s="15" t="s">
        <v>187</v>
      </c>
      <c r="D23" s="15" t="s">
        <v>181</v>
      </c>
      <c r="E23" s="15" t="s">
        <v>188</v>
      </c>
      <c r="F23" s="15" t="s">
        <v>189</v>
      </c>
      <c r="G23" s="15" t="s">
        <v>190</v>
      </c>
      <c r="H23" s="26" t="s">
        <v>20</v>
      </c>
      <c r="I23" s="25" t="s">
        <v>68</v>
      </c>
      <c r="J23" s="15"/>
      <c r="K23" s="15" t="s">
        <v>191</v>
      </c>
    </row>
    <row r="24" spans="1:11" ht="52" x14ac:dyDescent="0.35">
      <c r="A24" s="27" t="s">
        <v>192</v>
      </c>
      <c r="B24" s="16" t="s">
        <v>172</v>
      </c>
      <c r="C24" s="16" t="s">
        <v>193</v>
      </c>
      <c r="D24" s="16" t="s">
        <v>194</v>
      </c>
      <c r="E24" s="16" t="s">
        <v>195</v>
      </c>
      <c r="F24" s="16" t="s">
        <v>196</v>
      </c>
      <c r="G24" s="16" t="s">
        <v>197</v>
      </c>
      <c r="H24" s="28" t="s">
        <v>20</v>
      </c>
      <c r="I24" s="27" t="s">
        <v>99</v>
      </c>
      <c r="J24" s="16"/>
      <c r="K24" s="16" t="s">
        <v>198</v>
      </c>
    </row>
    <row r="25" spans="1:11" ht="52" x14ac:dyDescent="0.35">
      <c r="A25" s="25" t="s">
        <v>199</v>
      </c>
      <c r="B25" s="15" t="s">
        <v>200</v>
      </c>
      <c r="C25" s="15" t="s">
        <v>201</v>
      </c>
      <c r="D25" s="15" t="s">
        <v>202</v>
      </c>
      <c r="E25" s="15" t="s">
        <v>203</v>
      </c>
      <c r="F25" s="15" t="s">
        <v>204</v>
      </c>
      <c r="G25" s="15" t="s">
        <v>205</v>
      </c>
      <c r="H25" s="26" t="s">
        <v>20</v>
      </c>
      <c r="I25" s="25" t="s">
        <v>99</v>
      </c>
      <c r="J25" s="15"/>
      <c r="K25" s="15" t="s">
        <v>206</v>
      </c>
    </row>
    <row r="26" spans="1:11" ht="65" x14ac:dyDescent="0.35">
      <c r="A26" s="27" t="s">
        <v>207</v>
      </c>
      <c r="B26" s="16" t="s">
        <v>200</v>
      </c>
      <c r="C26" s="16" t="s">
        <v>208</v>
      </c>
      <c r="D26" s="16" t="s">
        <v>202</v>
      </c>
      <c r="E26" s="16" t="s">
        <v>209</v>
      </c>
      <c r="F26" s="16" t="s">
        <v>210</v>
      </c>
      <c r="G26" s="16" t="s">
        <v>211</v>
      </c>
      <c r="H26" s="28" t="s">
        <v>20</v>
      </c>
      <c r="I26" s="27" t="s">
        <v>68</v>
      </c>
      <c r="J26" s="16"/>
      <c r="K26" s="16" t="s">
        <v>212</v>
      </c>
    </row>
    <row r="27" spans="1:11" ht="65" x14ac:dyDescent="0.35">
      <c r="A27" s="25" t="s">
        <v>213</v>
      </c>
      <c r="B27" s="15" t="s">
        <v>200</v>
      </c>
      <c r="C27" s="15" t="s">
        <v>214</v>
      </c>
      <c r="D27" s="15" t="s">
        <v>202</v>
      </c>
      <c r="E27" s="15" t="s">
        <v>215</v>
      </c>
      <c r="F27" s="15" t="s">
        <v>216</v>
      </c>
      <c r="G27" s="15" t="s">
        <v>217</v>
      </c>
      <c r="H27" s="26" t="s">
        <v>20</v>
      </c>
      <c r="I27" s="25" t="s">
        <v>99</v>
      </c>
      <c r="J27" s="15"/>
      <c r="K27" s="15" t="s">
        <v>218</v>
      </c>
    </row>
    <row r="28" spans="1:11" ht="52" x14ac:dyDescent="0.35">
      <c r="A28" s="27" t="s">
        <v>219</v>
      </c>
      <c r="B28" s="16" t="s">
        <v>200</v>
      </c>
      <c r="C28" s="16" t="s">
        <v>220</v>
      </c>
      <c r="D28" s="16" t="s">
        <v>221</v>
      </c>
      <c r="E28" s="16" t="s">
        <v>222</v>
      </c>
      <c r="F28" s="16" t="s">
        <v>223</v>
      </c>
      <c r="G28" s="16" t="s">
        <v>224</v>
      </c>
      <c r="H28" s="28" t="s">
        <v>20</v>
      </c>
      <c r="I28" s="27" t="s">
        <v>68</v>
      </c>
      <c r="J28" s="16"/>
      <c r="K28" s="16" t="s">
        <v>225</v>
      </c>
    </row>
    <row r="29" spans="1:11" ht="52" x14ac:dyDescent="0.35">
      <c r="A29" s="25" t="s">
        <v>226</v>
      </c>
      <c r="B29" s="15" t="s">
        <v>200</v>
      </c>
      <c r="C29" s="15" t="s">
        <v>227</v>
      </c>
      <c r="D29" s="15" t="s">
        <v>228</v>
      </c>
      <c r="E29" s="15" t="s">
        <v>229</v>
      </c>
      <c r="F29" s="15" t="s">
        <v>230</v>
      </c>
      <c r="G29" s="15" t="s">
        <v>231</v>
      </c>
      <c r="H29" s="26" t="s">
        <v>20</v>
      </c>
      <c r="I29" s="25" t="s">
        <v>68</v>
      </c>
      <c r="J29" s="15"/>
      <c r="K29" s="15" t="s">
        <v>232</v>
      </c>
    </row>
    <row r="30" spans="1:11" ht="52" x14ac:dyDescent="0.35">
      <c r="A30" s="27" t="s">
        <v>233</v>
      </c>
      <c r="B30" s="16" t="s">
        <v>200</v>
      </c>
      <c r="C30" s="16" t="s">
        <v>234</v>
      </c>
      <c r="D30" s="16" t="s">
        <v>235</v>
      </c>
      <c r="E30" s="16" t="s">
        <v>236</v>
      </c>
      <c r="F30" s="16" t="s">
        <v>237</v>
      </c>
      <c r="G30" s="16" t="s">
        <v>238</v>
      </c>
      <c r="H30" s="28" t="s">
        <v>20</v>
      </c>
      <c r="I30" s="27" t="s">
        <v>68</v>
      </c>
      <c r="J30" s="16"/>
      <c r="K30" s="16" t="s">
        <v>239</v>
      </c>
    </row>
    <row r="31" spans="1:11" ht="39" x14ac:dyDescent="0.35">
      <c r="A31" s="25" t="s">
        <v>240</v>
      </c>
      <c r="B31" s="15" t="s">
        <v>241</v>
      </c>
      <c r="C31" s="15" t="s">
        <v>242</v>
      </c>
      <c r="D31" s="15" t="s">
        <v>243</v>
      </c>
      <c r="E31" s="15" t="s">
        <v>244</v>
      </c>
      <c r="F31" s="15" t="s">
        <v>245</v>
      </c>
      <c r="G31" s="15" t="s">
        <v>246</v>
      </c>
      <c r="H31" s="26" t="s">
        <v>20</v>
      </c>
      <c r="I31" s="25" t="s">
        <v>68</v>
      </c>
      <c r="J31" s="15"/>
      <c r="K31" s="15" t="s">
        <v>247</v>
      </c>
    </row>
    <row r="32" spans="1:11" ht="65" x14ac:dyDescent="0.35">
      <c r="A32" s="27" t="s">
        <v>248</v>
      </c>
      <c r="B32" s="16" t="s">
        <v>241</v>
      </c>
      <c r="C32" s="16" t="s">
        <v>249</v>
      </c>
      <c r="D32" s="16" t="s">
        <v>250</v>
      </c>
      <c r="E32" s="16" t="s">
        <v>251</v>
      </c>
      <c r="F32" s="16" t="s">
        <v>252</v>
      </c>
      <c r="G32" s="16" t="s">
        <v>253</v>
      </c>
      <c r="H32" s="28" t="s">
        <v>20</v>
      </c>
      <c r="I32" s="27" t="s">
        <v>68</v>
      </c>
      <c r="J32" s="16"/>
      <c r="K32" s="16" t="s">
        <v>254</v>
      </c>
    </row>
    <row r="33" spans="1:11" ht="52" x14ac:dyDescent="0.35">
      <c r="A33" s="25" t="s">
        <v>255</v>
      </c>
      <c r="B33" s="15" t="s">
        <v>241</v>
      </c>
      <c r="C33" s="15" t="s">
        <v>256</v>
      </c>
      <c r="D33" s="15" t="s">
        <v>257</v>
      </c>
      <c r="E33" s="15" t="s">
        <v>258</v>
      </c>
      <c r="F33" s="15" t="s">
        <v>259</v>
      </c>
      <c r="G33" s="15" t="s">
        <v>260</v>
      </c>
      <c r="H33" s="26" t="s">
        <v>20</v>
      </c>
      <c r="I33" s="25" t="s">
        <v>68</v>
      </c>
      <c r="J33" s="15"/>
      <c r="K33" s="15" t="s">
        <v>261</v>
      </c>
    </row>
    <row r="34" spans="1:11" ht="52" x14ac:dyDescent="0.35">
      <c r="A34" s="27" t="s">
        <v>262</v>
      </c>
      <c r="B34" s="16" t="s">
        <v>241</v>
      </c>
      <c r="C34" s="16" t="s">
        <v>263</v>
      </c>
      <c r="D34" s="16" t="s">
        <v>264</v>
      </c>
      <c r="E34" s="16" t="s">
        <v>265</v>
      </c>
      <c r="F34" s="16" t="s">
        <v>266</v>
      </c>
      <c r="G34" s="16" t="s">
        <v>267</v>
      </c>
      <c r="H34" s="28" t="s">
        <v>20</v>
      </c>
      <c r="I34" s="27" t="s">
        <v>99</v>
      </c>
      <c r="J34" s="16"/>
      <c r="K34" s="16" t="s">
        <v>268</v>
      </c>
    </row>
    <row r="35" spans="1:11" ht="52" x14ac:dyDescent="0.35">
      <c r="A35" s="25" t="s">
        <v>269</v>
      </c>
      <c r="B35" s="15" t="s">
        <v>241</v>
      </c>
      <c r="C35" s="15" t="s">
        <v>270</v>
      </c>
      <c r="D35" s="15" t="s">
        <v>271</v>
      </c>
      <c r="E35" s="15" t="s">
        <v>272</v>
      </c>
      <c r="F35" s="15" t="s">
        <v>273</v>
      </c>
      <c r="G35" s="15" t="s">
        <v>274</v>
      </c>
      <c r="H35" s="26" t="s">
        <v>20</v>
      </c>
      <c r="I35" s="25" t="s">
        <v>68</v>
      </c>
      <c r="J35" s="15"/>
      <c r="K35" s="15" t="s">
        <v>275</v>
      </c>
    </row>
    <row r="36" spans="1:11" ht="52" x14ac:dyDescent="0.35">
      <c r="A36" s="27" t="s">
        <v>276</v>
      </c>
      <c r="B36" s="16" t="s">
        <v>241</v>
      </c>
      <c r="C36" s="16" t="s">
        <v>277</v>
      </c>
      <c r="D36" s="16" t="s">
        <v>278</v>
      </c>
      <c r="E36" s="16" t="s">
        <v>279</v>
      </c>
      <c r="F36" s="16" t="s">
        <v>280</v>
      </c>
      <c r="G36" s="16" t="s">
        <v>281</v>
      </c>
      <c r="H36" s="28" t="s">
        <v>20</v>
      </c>
      <c r="I36" s="27" t="s">
        <v>68</v>
      </c>
      <c r="J36" s="16"/>
      <c r="K36" s="16" t="s">
        <v>282</v>
      </c>
    </row>
    <row r="37" spans="1:11" ht="78" x14ac:dyDescent="0.35">
      <c r="A37" s="25" t="s">
        <v>283</v>
      </c>
      <c r="B37" s="15" t="s">
        <v>241</v>
      </c>
      <c r="C37" s="15" t="s">
        <v>284</v>
      </c>
      <c r="D37" s="15" t="s">
        <v>285</v>
      </c>
      <c r="E37" s="15" t="s">
        <v>286</v>
      </c>
      <c r="F37" s="15" t="s">
        <v>287</v>
      </c>
      <c r="G37" s="15" t="s">
        <v>288</v>
      </c>
      <c r="H37" s="26" t="s">
        <v>20</v>
      </c>
      <c r="I37" s="25" t="s">
        <v>68</v>
      </c>
      <c r="J37" s="15"/>
      <c r="K37" s="15" t="s">
        <v>289</v>
      </c>
    </row>
    <row r="38" spans="1:11" ht="39" x14ac:dyDescent="0.35">
      <c r="A38" s="27" t="s">
        <v>290</v>
      </c>
      <c r="B38" s="16" t="s">
        <v>241</v>
      </c>
      <c r="C38" s="16" t="s">
        <v>291</v>
      </c>
      <c r="D38" s="16" t="s">
        <v>292</v>
      </c>
      <c r="E38" s="16" t="s">
        <v>293</v>
      </c>
      <c r="F38" s="16" t="s">
        <v>294</v>
      </c>
      <c r="G38" s="16" t="s">
        <v>295</v>
      </c>
      <c r="H38" s="28" t="s">
        <v>20</v>
      </c>
      <c r="I38" s="27" t="s">
        <v>296</v>
      </c>
      <c r="J38" s="16"/>
      <c r="K38" s="16" t="s">
        <v>297</v>
      </c>
    </row>
    <row r="39" spans="1:11" ht="52" x14ac:dyDescent="0.35">
      <c r="A39" s="25" t="s">
        <v>298</v>
      </c>
      <c r="B39" s="15" t="s">
        <v>299</v>
      </c>
      <c r="C39" s="15" t="s">
        <v>300</v>
      </c>
      <c r="D39" s="15" t="s">
        <v>301</v>
      </c>
      <c r="E39" s="15" t="s">
        <v>302</v>
      </c>
      <c r="F39" s="15" t="s">
        <v>303</v>
      </c>
      <c r="G39" s="15" t="s">
        <v>304</v>
      </c>
      <c r="H39" s="26" t="s">
        <v>20</v>
      </c>
      <c r="I39" s="25" t="s">
        <v>99</v>
      </c>
      <c r="J39" s="15"/>
      <c r="K39" s="15" t="s">
        <v>305</v>
      </c>
    </row>
    <row r="40" spans="1:11" ht="52" x14ac:dyDescent="0.35">
      <c r="A40" s="27" t="s">
        <v>306</v>
      </c>
      <c r="B40" s="16" t="s">
        <v>299</v>
      </c>
      <c r="C40" s="16" t="s">
        <v>307</v>
      </c>
      <c r="D40" s="16" t="s">
        <v>308</v>
      </c>
      <c r="E40" s="16" t="s">
        <v>309</v>
      </c>
      <c r="F40" s="16" t="s">
        <v>310</v>
      </c>
      <c r="G40" s="16" t="s">
        <v>311</v>
      </c>
      <c r="H40" s="28" t="s">
        <v>20</v>
      </c>
      <c r="I40" s="27" t="s">
        <v>99</v>
      </c>
      <c r="J40" s="16"/>
      <c r="K40" s="16" t="s">
        <v>312</v>
      </c>
    </row>
    <row r="41" spans="1:11" ht="39" x14ac:dyDescent="0.35">
      <c r="A41" s="25" t="s">
        <v>313</v>
      </c>
      <c r="B41" s="15" t="s">
        <v>299</v>
      </c>
      <c r="C41" s="15" t="s">
        <v>314</v>
      </c>
      <c r="D41" s="15" t="s">
        <v>308</v>
      </c>
      <c r="E41" s="15" t="s">
        <v>315</v>
      </c>
      <c r="F41" s="15" t="s">
        <v>316</v>
      </c>
      <c r="G41" s="15" t="s">
        <v>317</v>
      </c>
      <c r="H41" s="26" t="s">
        <v>20</v>
      </c>
      <c r="I41" s="25" t="s">
        <v>296</v>
      </c>
      <c r="J41" s="15"/>
      <c r="K41" s="15" t="s">
        <v>318</v>
      </c>
    </row>
    <row r="42" spans="1:11" ht="52" x14ac:dyDescent="0.35">
      <c r="A42" s="27" t="s">
        <v>319</v>
      </c>
      <c r="B42" s="16" t="s">
        <v>320</v>
      </c>
      <c r="C42" s="16" t="s">
        <v>321</v>
      </c>
      <c r="D42" s="16" t="s">
        <v>322</v>
      </c>
      <c r="E42" s="16" t="s">
        <v>323</v>
      </c>
      <c r="F42" s="16" t="s">
        <v>324</v>
      </c>
      <c r="G42" s="16" t="s">
        <v>325</v>
      </c>
      <c r="H42" s="28" t="s">
        <v>20</v>
      </c>
      <c r="I42" s="27" t="s">
        <v>68</v>
      </c>
      <c r="J42" s="16"/>
      <c r="K42" s="16" t="s">
        <v>326</v>
      </c>
    </row>
    <row r="43" spans="1:11" ht="26" x14ac:dyDescent="0.35">
      <c r="A43" s="25" t="s">
        <v>327</v>
      </c>
      <c r="B43" s="15" t="s">
        <v>320</v>
      </c>
      <c r="C43" s="15" t="s">
        <v>328</v>
      </c>
      <c r="D43" s="15" t="s">
        <v>329</v>
      </c>
      <c r="E43" s="15" t="s">
        <v>330</v>
      </c>
      <c r="F43" s="15" t="s">
        <v>331</v>
      </c>
      <c r="G43" s="15" t="s">
        <v>332</v>
      </c>
      <c r="H43" s="26" t="s">
        <v>20</v>
      </c>
      <c r="I43" s="25" t="s">
        <v>68</v>
      </c>
      <c r="J43" s="15"/>
      <c r="K43" s="15" t="s">
        <v>333</v>
      </c>
    </row>
    <row r="44" spans="1:11" ht="39" x14ac:dyDescent="0.35">
      <c r="A44" s="27" t="s">
        <v>334</v>
      </c>
      <c r="B44" s="16" t="s">
        <v>320</v>
      </c>
      <c r="C44" s="16" t="s">
        <v>335</v>
      </c>
      <c r="D44" s="16" t="s">
        <v>329</v>
      </c>
      <c r="E44" s="16" t="s">
        <v>336</v>
      </c>
      <c r="F44" s="16" t="s">
        <v>337</v>
      </c>
      <c r="G44" s="16" t="s">
        <v>338</v>
      </c>
      <c r="H44" s="28" t="s">
        <v>20</v>
      </c>
      <c r="I44" s="27" t="s">
        <v>99</v>
      </c>
      <c r="J44" s="16"/>
      <c r="K44" s="16" t="s">
        <v>339</v>
      </c>
    </row>
  </sheetData>
  <mergeCells count="2">
    <mergeCell ref="A2:K2"/>
    <mergeCell ref="A1:K1"/>
  </mergeCells>
  <dataValidations count="1">
    <dataValidation type="list" allowBlank="1" errorTitle="Invalid Status" error="Please select a valid status: Pass, Fail, Pending, or Blocked" sqref="H5 H6 H7 H8 H9 H10 H11 H12 H13 H14 H15 H16 H17 H18 H19 H20 H21 H22 H23 H24 H25 H26 H27 H28 H29 H30 H31 H32 H33 H34 H35 H36 H37 H38 H39 H40 H41 H42 H43 H44">
      <formula1>"Pass,Fail,Pending,Blocked"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 Dashboard</vt:lpstr>
      <vt:lpstr>Manual Test Cases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2026-10-07T09:38:16Z</dcterms:created>
  <dcterms:modified xsi:type="dcterms:W3CDTF">2026-10-12T10:46:50Z</dcterms:modified>
</cp:coreProperties>
</file>